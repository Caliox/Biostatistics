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yi\Desktop\"/>
    </mc:Choice>
  </mc:AlternateContent>
  <xr:revisionPtr revIDLastSave="0" documentId="13_ncr:1_{06BF2C7D-951A-48DE-B6F7-6C101B59E503}" xr6:coauthVersionLast="47" xr6:coauthVersionMax="47" xr10:uidLastSave="{00000000-0000-0000-0000-000000000000}"/>
  <bookViews>
    <workbookView xWindow="-120" yWindow="-120" windowWidth="29040" windowHeight="15720" xr2:uid="{63ECCA72-E76F-45CE-A239-6762076A8F40}"/>
  </bookViews>
  <sheets>
    <sheet name="data" sheetId="1" r:id="rId1"/>
    <sheet name="treatment" sheetId="2" r:id="rId2"/>
    <sheet name="placebo" sheetId="3" r:id="rId3"/>
    <sheet name="merge" sheetId="4" r:id="rId4"/>
  </sheets>
  <definedNames>
    <definedName name="_xlnm._FilterDatabase" localSheetId="0" hidden="1">data!$A$1:$G$43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E3" i="4" s="1"/>
  <c r="B3" i="3"/>
  <c r="E3" i="3" s="1"/>
  <c r="E3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E4" i="2" l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</calcChain>
</file>

<file path=xl/sharedStrings.xml><?xml version="1.0" encoding="utf-8"?>
<sst xmlns="http://schemas.openxmlformats.org/spreadsheetml/2006/main" count="106" uniqueCount="17">
  <si>
    <t>ID</t>
  </si>
  <si>
    <t>Group</t>
  </si>
  <si>
    <t>Time</t>
  </si>
  <si>
    <t>Status</t>
  </si>
  <si>
    <t>WBC</t>
  </si>
  <si>
    <t>CWBC</t>
  </si>
  <si>
    <t>Gender</t>
  </si>
  <si>
    <t>Treatment</t>
  </si>
  <si>
    <t>Medium</t>
  </si>
  <si>
    <t>High</t>
  </si>
  <si>
    <t>Low</t>
  </si>
  <si>
    <t>Placebo</t>
  </si>
  <si>
    <r>
      <t>t</t>
    </r>
    <r>
      <rPr>
        <b/>
        <vertAlign val="subscript"/>
        <sz val="14"/>
        <color indexed="8"/>
        <rFont val="Calibri"/>
        <family val="2"/>
      </rPr>
      <t>j</t>
    </r>
  </si>
  <si>
    <r>
      <t>n</t>
    </r>
    <r>
      <rPr>
        <b/>
        <vertAlign val="subscript"/>
        <sz val="14"/>
        <color indexed="8"/>
        <rFont val="Calibri"/>
        <family val="2"/>
      </rPr>
      <t>j</t>
    </r>
  </si>
  <si>
    <r>
      <t>d</t>
    </r>
    <r>
      <rPr>
        <b/>
        <vertAlign val="subscript"/>
        <sz val="14"/>
        <color indexed="8"/>
        <rFont val="Calibri"/>
        <family val="2"/>
      </rPr>
      <t>j</t>
    </r>
  </si>
  <si>
    <r>
      <t>q</t>
    </r>
    <r>
      <rPr>
        <b/>
        <vertAlign val="subscript"/>
        <sz val="14"/>
        <color indexed="8"/>
        <rFont val="Calibri"/>
        <family val="2"/>
      </rPr>
      <t>j</t>
    </r>
  </si>
  <si>
    <r>
      <t>S</t>
    </r>
    <r>
      <rPr>
        <b/>
        <vertAlign val="subscript"/>
        <sz val="14"/>
        <color indexed="8"/>
        <rFont val="Calibri"/>
        <family val="2"/>
      </rPr>
      <t>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</si>
</sst>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.0000_ "/>
  </numFmts>
  <fonts count="9">
    <font>
      <sz val="11"/>
      <color theme="1"/>
      <name val="微软雅黑"/>
      <family val="2"/>
      <charset val="134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9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4"/>
      <color indexed="8"/>
      <name val="Calibri"/>
      <family val="2"/>
    </font>
    <font>
      <b/>
      <vertAlign val="subscript"/>
      <sz val="14"/>
      <color indexed="8"/>
      <name val="Calibri"/>
      <family val="2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 vertical="center"/>
    </xf>
    <xf numFmtId="177" fontId="5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177" fontId="8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DE6F-4261-4341-AB05-8315620FF472}">
  <dimension ref="A1:G43"/>
  <sheetViews>
    <sheetView tabSelected="1" workbookViewId="0">
      <selection activeCell="M22" sqref="M22"/>
    </sheetView>
  </sheetViews>
  <sheetFormatPr defaultRowHeight="16.5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3">
        <v>6</v>
      </c>
      <c r="D2" s="3">
        <v>1</v>
      </c>
      <c r="E2" s="3">
        <v>2.31</v>
      </c>
      <c r="F2" s="3" t="s">
        <v>8</v>
      </c>
      <c r="G2" s="3">
        <v>0</v>
      </c>
    </row>
    <row r="3" spans="1:7">
      <c r="A3" s="1">
        <v>2</v>
      </c>
      <c r="B3" s="1" t="s">
        <v>7</v>
      </c>
      <c r="C3" s="3">
        <v>6</v>
      </c>
      <c r="D3" s="3">
        <v>1</v>
      </c>
      <c r="E3" s="3">
        <v>4.0599999999999996</v>
      </c>
      <c r="F3" s="3" t="s">
        <v>9</v>
      </c>
      <c r="G3" s="3">
        <v>1</v>
      </c>
    </row>
    <row r="4" spans="1:7">
      <c r="A4" s="1">
        <v>3</v>
      </c>
      <c r="B4" s="1" t="s">
        <v>7</v>
      </c>
      <c r="C4" s="3">
        <v>6</v>
      </c>
      <c r="D4" s="3">
        <v>1</v>
      </c>
      <c r="E4" s="3">
        <v>3.28</v>
      </c>
      <c r="F4" s="3" t="s">
        <v>9</v>
      </c>
      <c r="G4" s="3">
        <v>0</v>
      </c>
    </row>
    <row r="5" spans="1:7">
      <c r="A5" s="1">
        <v>4</v>
      </c>
      <c r="B5" s="1" t="s">
        <v>7</v>
      </c>
      <c r="C5" s="3">
        <v>7</v>
      </c>
      <c r="D5" s="3">
        <v>1</v>
      </c>
      <c r="E5" s="3">
        <v>4.43</v>
      </c>
      <c r="F5" s="3" t="s">
        <v>9</v>
      </c>
      <c r="G5" s="3">
        <v>0</v>
      </c>
    </row>
    <row r="6" spans="1:7">
      <c r="A6" s="1">
        <v>5</v>
      </c>
      <c r="B6" s="1" t="s">
        <v>7</v>
      </c>
      <c r="C6" s="3">
        <v>10</v>
      </c>
      <c r="D6" s="3">
        <v>1</v>
      </c>
      <c r="E6" s="3">
        <v>2.96</v>
      </c>
      <c r="F6" s="3" t="s">
        <v>8</v>
      </c>
      <c r="G6" s="3">
        <v>0</v>
      </c>
    </row>
    <row r="7" spans="1:7">
      <c r="A7" s="1">
        <v>6</v>
      </c>
      <c r="B7" s="1" t="s">
        <v>7</v>
      </c>
      <c r="C7" s="3">
        <v>13</v>
      </c>
      <c r="D7" s="3">
        <v>1</v>
      </c>
      <c r="E7" s="3">
        <v>2.88</v>
      </c>
      <c r="F7" s="3" t="s">
        <v>8</v>
      </c>
      <c r="G7" s="3">
        <v>0</v>
      </c>
    </row>
    <row r="8" spans="1:7">
      <c r="A8" s="1">
        <v>7</v>
      </c>
      <c r="B8" s="1" t="s">
        <v>7</v>
      </c>
      <c r="C8" s="3">
        <v>16</v>
      </c>
      <c r="D8" s="3">
        <v>1</v>
      </c>
      <c r="E8" s="3">
        <v>3.6</v>
      </c>
      <c r="F8" s="3" t="s">
        <v>9</v>
      </c>
      <c r="G8" s="3">
        <v>1</v>
      </c>
    </row>
    <row r="9" spans="1:7">
      <c r="A9" s="1">
        <v>8</v>
      </c>
      <c r="B9" s="1" t="s">
        <v>7</v>
      </c>
      <c r="C9" s="3">
        <v>22</v>
      </c>
      <c r="D9" s="3">
        <v>1</v>
      </c>
      <c r="E9" s="3">
        <v>2.3199999999999998</v>
      </c>
      <c r="F9" s="3" t="s">
        <v>8</v>
      </c>
      <c r="G9" s="3">
        <v>1</v>
      </c>
    </row>
    <row r="10" spans="1:7">
      <c r="A10" s="1">
        <v>9</v>
      </c>
      <c r="B10" s="1" t="s">
        <v>7</v>
      </c>
      <c r="C10" s="3">
        <v>23</v>
      </c>
      <c r="D10" s="3">
        <v>1</v>
      </c>
      <c r="E10" s="3">
        <v>2.57</v>
      </c>
      <c r="F10" s="3" t="s">
        <v>8</v>
      </c>
      <c r="G10" s="3">
        <v>1</v>
      </c>
    </row>
    <row r="11" spans="1:7">
      <c r="A11" s="1">
        <v>10</v>
      </c>
      <c r="B11" s="1" t="s">
        <v>7</v>
      </c>
      <c r="C11" s="3">
        <v>6</v>
      </c>
      <c r="D11" s="3">
        <v>0</v>
      </c>
      <c r="E11" s="3">
        <v>3.2</v>
      </c>
      <c r="F11" s="3" t="s">
        <v>9</v>
      </c>
      <c r="G11" s="3">
        <v>0</v>
      </c>
    </row>
    <row r="12" spans="1:7">
      <c r="A12" s="1">
        <v>11</v>
      </c>
      <c r="B12" s="1" t="s">
        <v>7</v>
      </c>
      <c r="C12" s="3">
        <v>9</v>
      </c>
      <c r="D12" s="3">
        <v>0</v>
      </c>
      <c r="E12" s="3">
        <v>2.8</v>
      </c>
      <c r="F12" s="3" t="s">
        <v>8</v>
      </c>
      <c r="G12" s="3">
        <v>0</v>
      </c>
    </row>
    <row r="13" spans="1:7">
      <c r="A13" s="1">
        <v>12</v>
      </c>
      <c r="B13" s="1" t="s">
        <v>7</v>
      </c>
      <c r="C13" s="3">
        <v>10</v>
      </c>
      <c r="D13" s="3">
        <v>0</v>
      </c>
      <c r="E13" s="3">
        <v>2.7</v>
      </c>
      <c r="F13" s="3" t="s">
        <v>8</v>
      </c>
      <c r="G13" s="3">
        <v>0</v>
      </c>
    </row>
    <row r="14" spans="1:7">
      <c r="A14" s="1">
        <v>13</v>
      </c>
      <c r="B14" s="1" t="s">
        <v>7</v>
      </c>
      <c r="C14" s="3">
        <v>11</v>
      </c>
      <c r="D14" s="3">
        <v>0</v>
      </c>
      <c r="E14" s="3">
        <v>2.6</v>
      </c>
      <c r="F14" s="3" t="s">
        <v>8</v>
      </c>
      <c r="G14" s="3">
        <v>0</v>
      </c>
    </row>
    <row r="15" spans="1:7">
      <c r="A15" s="1">
        <v>14</v>
      </c>
      <c r="B15" s="1" t="s">
        <v>7</v>
      </c>
      <c r="C15" s="3">
        <v>17</v>
      </c>
      <c r="D15" s="3">
        <v>0</v>
      </c>
      <c r="E15" s="3">
        <v>2.16</v>
      </c>
      <c r="F15" s="3" t="s">
        <v>10</v>
      </c>
      <c r="G15" s="3">
        <v>0</v>
      </c>
    </row>
    <row r="16" spans="1:7">
      <c r="A16" s="1">
        <v>15</v>
      </c>
      <c r="B16" s="1" t="s">
        <v>7</v>
      </c>
      <c r="C16" s="3">
        <v>19</v>
      </c>
      <c r="D16" s="3">
        <v>0</v>
      </c>
      <c r="E16" s="3">
        <v>2.0499999999999998</v>
      </c>
      <c r="F16" s="3" t="s">
        <v>10</v>
      </c>
      <c r="G16" s="3">
        <v>0</v>
      </c>
    </row>
    <row r="17" spans="1:7">
      <c r="A17" s="1">
        <v>16</v>
      </c>
      <c r="B17" s="1" t="s">
        <v>7</v>
      </c>
      <c r="C17" s="3">
        <v>20</v>
      </c>
      <c r="D17" s="3">
        <v>0</v>
      </c>
      <c r="E17" s="3">
        <v>2.0099999999999998</v>
      </c>
      <c r="F17" s="3" t="s">
        <v>10</v>
      </c>
      <c r="G17" s="3">
        <v>1</v>
      </c>
    </row>
    <row r="18" spans="1:7">
      <c r="A18" s="1">
        <v>17</v>
      </c>
      <c r="B18" s="1" t="s">
        <v>7</v>
      </c>
      <c r="C18" s="3">
        <v>25</v>
      </c>
      <c r="D18" s="3">
        <v>0</v>
      </c>
      <c r="E18" s="3">
        <v>1.78</v>
      </c>
      <c r="F18" s="3" t="s">
        <v>10</v>
      </c>
      <c r="G18" s="3">
        <v>1</v>
      </c>
    </row>
    <row r="19" spans="1:7">
      <c r="A19" s="1">
        <v>18</v>
      </c>
      <c r="B19" s="1" t="s">
        <v>7</v>
      </c>
      <c r="C19" s="3">
        <v>32</v>
      </c>
      <c r="D19" s="3">
        <v>0</v>
      </c>
      <c r="E19" s="3">
        <v>2.2000000000000002</v>
      </c>
      <c r="F19" s="3" t="s">
        <v>10</v>
      </c>
      <c r="G19" s="3">
        <v>1</v>
      </c>
    </row>
    <row r="20" spans="1:7">
      <c r="A20" s="1">
        <v>19</v>
      </c>
      <c r="B20" s="1" t="s">
        <v>7</v>
      </c>
      <c r="C20" s="3">
        <v>32</v>
      </c>
      <c r="D20" s="3">
        <v>0</v>
      </c>
      <c r="E20" s="3">
        <v>2.5299999999999998</v>
      </c>
      <c r="F20" s="3" t="s">
        <v>8</v>
      </c>
      <c r="G20" s="3">
        <v>1</v>
      </c>
    </row>
    <row r="21" spans="1:7">
      <c r="A21" s="1">
        <v>20</v>
      </c>
      <c r="B21" s="1" t="s">
        <v>7</v>
      </c>
      <c r="C21" s="3">
        <v>34</v>
      </c>
      <c r="D21" s="3">
        <v>0</v>
      </c>
      <c r="E21" s="3">
        <v>1.47</v>
      </c>
      <c r="F21" s="3" t="s">
        <v>10</v>
      </c>
      <c r="G21" s="3">
        <v>1</v>
      </c>
    </row>
    <row r="22" spans="1:7">
      <c r="A22" s="1">
        <v>21</v>
      </c>
      <c r="B22" s="1" t="s">
        <v>7</v>
      </c>
      <c r="C22" s="3">
        <v>35</v>
      </c>
      <c r="D22" s="3">
        <v>0</v>
      </c>
      <c r="E22" s="3">
        <v>1.45</v>
      </c>
      <c r="F22" s="3" t="s">
        <v>10</v>
      </c>
      <c r="G22" s="3">
        <v>1</v>
      </c>
    </row>
    <row r="23" spans="1:7">
      <c r="A23" s="1">
        <v>22</v>
      </c>
      <c r="B23" s="1" t="s">
        <v>11</v>
      </c>
      <c r="C23" s="1">
        <v>1</v>
      </c>
      <c r="D23" s="1">
        <v>1</v>
      </c>
      <c r="E23" s="1">
        <v>2.8</v>
      </c>
      <c r="F23" s="3" t="s">
        <v>8</v>
      </c>
      <c r="G23" s="3">
        <v>1</v>
      </c>
    </row>
    <row r="24" spans="1:7">
      <c r="A24" s="1">
        <v>23</v>
      </c>
      <c r="B24" s="1" t="s">
        <v>11</v>
      </c>
      <c r="C24" s="1">
        <v>1</v>
      </c>
      <c r="D24" s="1">
        <v>1</v>
      </c>
      <c r="E24" s="1">
        <v>5</v>
      </c>
      <c r="F24" s="3" t="s">
        <v>9</v>
      </c>
      <c r="G24" s="3">
        <v>1</v>
      </c>
    </row>
    <row r="25" spans="1:7">
      <c r="A25" s="1">
        <v>24</v>
      </c>
      <c r="B25" s="1" t="s">
        <v>11</v>
      </c>
      <c r="C25" s="1">
        <v>2</v>
      </c>
      <c r="D25" s="1">
        <v>1</v>
      </c>
      <c r="E25" s="1">
        <v>4.91</v>
      </c>
      <c r="F25" s="3" t="s">
        <v>9</v>
      </c>
      <c r="G25" s="3">
        <v>1</v>
      </c>
    </row>
    <row r="26" spans="1:7">
      <c r="A26" s="1">
        <v>25</v>
      </c>
      <c r="B26" s="1" t="s">
        <v>11</v>
      </c>
      <c r="C26" s="1">
        <v>2</v>
      </c>
      <c r="D26" s="1">
        <v>1</v>
      </c>
      <c r="E26" s="1">
        <v>4.4800000000000004</v>
      </c>
      <c r="F26" s="3" t="s">
        <v>9</v>
      </c>
      <c r="G26" s="1">
        <v>1</v>
      </c>
    </row>
    <row r="27" spans="1:7">
      <c r="A27" s="1">
        <v>26</v>
      </c>
      <c r="B27" s="1" t="s">
        <v>11</v>
      </c>
      <c r="C27" s="1">
        <v>3</v>
      </c>
      <c r="D27" s="1">
        <v>1</v>
      </c>
      <c r="E27" s="1">
        <v>4.01</v>
      </c>
      <c r="F27" s="3" t="s">
        <v>9</v>
      </c>
      <c r="G27" s="1">
        <v>1</v>
      </c>
    </row>
    <row r="28" spans="1:7">
      <c r="A28" s="1">
        <v>27</v>
      </c>
      <c r="B28" s="1" t="s">
        <v>11</v>
      </c>
      <c r="C28" s="1">
        <v>4</v>
      </c>
      <c r="D28" s="1">
        <v>1</v>
      </c>
      <c r="E28" s="1">
        <v>4.3600000000000003</v>
      </c>
      <c r="F28" s="3" t="s">
        <v>9</v>
      </c>
      <c r="G28" s="1">
        <v>1</v>
      </c>
    </row>
    <row r="29" spans="1:7">
      <c r="A29" s="1">
        <v>28</v>
      </c>
      <c r="B29" s="1" t="s">
        <v>11</v>
      </c>
      <c r="C29" s="1">
        <v>4</v>
      </c>
      <c r="D29" s="1">
        <v>1</v>
      </c>
      <c r="E29" s="1">
        <v>2.42</v>
      </c>
      <c r="F29" s="3" t="s">
        <v>8</v>
      </c>
      <c r="G29" s="1">
        <v>1</v>
      </c>
    </row>
    <row r="30" spans="1:7">
      <c r="A30" s="1">
        <v>29</v>
      </c>
      <c r="B30" s="1" t="s">
        <v>11</v>
      </c>
      <c r="C30" s="1">
        <v>5</v>
      </c>
      <c r="D30" s="1">
        <v>1</v>
      </c>
      <c r="E30" s="1">
        <v>3.49</v>
      </c>
      <c r="F30" s="3" t="s">
        <v>9</v>
      </c>
      <c r="G30" s="1">
        <v>1</v>
      </c>
    </row>
    <row r="31" spans="1:7">
      <c r="A31" s="1">
        <v>30</v>
      </c>
      <c r="B31" s="1" t="s">
        <v>11</v>
      </c>
      <c r="C31" s="1">
        <v>5</v>
      </c>
      <c r="D31" s="1">
        <v>1</v>
      </c>
      <c r="E31" s="1">
        <v>3.97</v>
      </c>
      <c r="F31" s="3" t="s">
        <v>9</v>
      </c>
      <c r="G31" s="1">
        <v>0</v>
      </c>
    </row>
    <row r="32" spans="1:7">
      <c r="A32" s="1">
        <v>31</v>
      </c>
      <c r="B32" s="1" t="s">
        <v>11</v>
      </c>
      <c r="C32" s="1">
        <v>8</v>
      </c>
      <c r="D32" s="1">
        <v>1</v>
      </c>
      <c r="E32" s="1">
        <v>3.52</v>
      </c>
      <c r="F32" s="3" t="s">
        <v>9</v>
      </c>
      <c r="G32" s="1">
        <v>0</v>
      </c>
    </row>
    <row r="33" spans="1:7">
      <c r="A33" s="1">
        <v>32</v>
      </c>
      <c r="B33" s="1" t="s">
        <v>11</v>
      </c>
      <c r="C33" s="1">
        <v>8</v>
      </c>
      <c r="D33" s="1">
        <v>1</v>
      </c>
      <c r="E33" s="1">
        <v>3.05</v>
      </c>
      <c r="F33" s="3" t="s">
        <v>9</v>
      </c>
      <c r="G33" s="1">
        <v>0</v>
      </c>
    </row>
    <row r="34" spans="1:7">
      <c r="A34" s="1">
        <v>33</v>
      </c>
      <c r="B34" s="1" t="s">
        <v>11</v>
      </c>
      <c r="C34" s="1">
        <v>8</v>
      </c>
      <c r="D34" s="1">
        <v>1</v>
      </c>
      <c r="E34" s="1">
        <v>2.3199999999999998</v>
      </c>
      <c r="F34" s="3" t="s">
        <v>8</v>
      </c>
      <c r="G34" s="1">
        <v>0</v>
      </c>
    </row>
    <row r="35" spans="1:7">
      <c r="A35" s="1">
        <v>34</v>
      </c>
      <c r="B35" s="1" t="s">
        <v>11</v>
      </c>
      <c r="C35" s="1">
        <v>8</v>
      </c>
      <c r="D35" s="1">
        <v>1</v>
      </c>
      <c r="E35" s="1">
        <v>3.26</v>
      </c>
      <c r="F35" s="3" t="s">
        <v>9</v>
      </c>
      <c r="G35" s="1">
        <v>1</v>
      </c>
    </row>
    <row r="36" spans="1:7">
      <c r="A36" s="1">
        <v>35</v>
      </c>
      <c r="B36" s="1" t="s">
        <v>11</v>
      </c>
      <c r="C36" s="1">
        <v>11</v>
      </c>
      <c r="D36" s="1">
        <v>1</v>
      </c>
      <c r="E36" s="1">
        <v>3.49</v>
      </c>
      <c r="F36" s="3" t="s">
        <v>9</v>
      </c>
      <c r="G36" s="1">
        <v>0</v>
      </c>
    </row>
    <row r="37" spans="1:7">
      <c r="A37" s="1">
        <v>36</v>
      </c>
      <c r="B37" s="1" t="s">
        <v>11</v>
      </c>
      <c r="C37" s="1">
        <v>11</v>
      </c>
      <c r="D37" s="1">
        <v>1</v>
      </c>
      <c r="E37" s="1">
        <v>2.12</v>
      </c>
      <c r="F37" s="3" t="s">
        <v>10</v>
      </c>
      <c r="G37" s="1">
        <v>0</v>
      </c>
    </row>
    <row r="38" spans="1:7">
      <c r="A38" s="1">
        <v>37</v>
      </c>
      <c r="B38" s="1" t="s">
        <v>11</v>
      </c>
      <c r="C38" s="1">
        <v>12</v>
      </c>
      <c r="D38" s="1">
        <v>1</v>
      </c>
      <c r="E38" s="1">
        <v>1.5</v>
      </c>
      <c r="F38" s="3" t="s">
        <v>10</v>
      </c>
      <c r="G38" s="1">
        <v>0</v>
      </c>
    </row>
    <row r="39" spans="1:7">
      <c r="A39" s="1">
        <v>38</v>
      </c>
      <c r="B39" s="1" t="s">
        <v>11</v>
      </c>
      <c r="C39" s="1">
        <v>12</v>
      </c>
      <c r="D39" s="1">
        <v>1</v>
      </c>
      <c r="E39" s="1">
        <v>3.06</v>
      </c>
      <c r="F39" s="3" t="s">
        <v>9</v>
      </c>
      <c r="G39" s="1">
        <v>0</v>
      </c>
    </row>
    <row r="40" spans="1:7">
      <c r="A40" s="1">
        <v>39</v>
      </c>
      <c r="B40" s="1" t="s">
        <v>11</v>
      </c>
      <c r="C40" s="1">
        <v>15</v>
      </c>
      <c r="D40" s="1">
        <v>1</v>
      </c>
      <c r="E40" s="1">
        <v>2.2999999999999998</v>
      </c>
      <c r="F40" s="3" t="s">
        <v>8</v>
      </c>
      <c r="G40" s="1">
        <v>0</v>
      </c>
    </row>
    <row r="41" spans="1:7">
      <c r="A41" s="1">
        <v>40</v>
      </c>
      <c r="B41" s="1" t="s">
        <v>11</v>
      </c>
      <c r="C41" s="1">
        <v>17</v>
      </c>
      <c r="D41" s="1">
        <v>1</v>
      </c>
      <c r="E41" s="1">
        <v>2.95</v>
      </c>
      <c r="F41" s="3" t="s">
        <v>8</v>
      </c>
      <c r="G41" s="1">
        <v>0</v>
      </c>
    </row>
    <row r="42" spans="1:7">
      <c r="A42" s="1">
        <v>41</v>
      </c>
      <c r="B42" s="1" t="s">
        <v>11</v>
      </c>
      <c r="C42" s="1">
        <v>22</v>
      </c>
      <c r="D42" s="1">
        <v>1</v>
      </c>
      <c r="E42" s="1">
        <v>2.73</v>
      </c>
      <c r="F42" s="3" t="s">
        <v>8</v>
      </c>
      <c r="G42" s="1">
        <v>0</v>
      </c>
    </row>
    <row r="43" spans="1:7">
      <c r="A43" s="1">
        <v>42</v>
      </c>
      <c r="B43" s="1" t="s">
        <v>11</v>
      </c>
      <c r="C43" s="1">
        <v>23</v>
      </c>
      <c r="D43" s="1">
        <v>1</v>
      </c>
      <c r="E43" s="1">
        <v>1.97</v>
      </c>
      <c r="F43" s="3" t="s">
        <v>10</v>
      </c>
      <c r="G43" s="1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8EAF-3DDF-42E0-B38F-1D45F9C5B78E}">
  <dimension ref="A1:E18"/>
  <sheetViews>
    <sheetView zoomScaleNormal="100" workbookViewId="0">
      <selection activeCell="J17" sqref="J17"/>
    </sheetView>
  </sheetViews>
  <sheetFormatPr defaultRowHeight="16.5"/>
  <sheetData>
    <row r="1" spans="1:5" ht="2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spans="1:5">
      <c r="A2" s="6">
        <v>0</v>
      </c>
      <c r="B2" s="7">
        <v>21</v>
      </c>
      <c r="C2" s="7">
        <v>0</v>
      </c>
      <c r="D2" s="7">
        <v>0</v>
      </c>
      <c r="E2" s="8">
        <v>1</v>
      </c>
    </row>
    <row r="3" spans="1:5">
      <c r="A3" s="7">
        <v>6</v>
      </c>
      <c r="B3" s="7">
        <v>21</v>
      </c>
      <c r="C3" s="7">
        <v>3</v>
      </c>
      <c r="D3" s="7">
        <v>1</v>
      </c>
      <c r="E3" s="8">
        <f>1-C3/B3</f>
        <v>0.85714285714285721</v>
      </c>
    </row>
    <row r="4" spans="1:5">
      <c r="A4" s="7">
        <v>7</v>
      </c>
      <c r="B4" s="7">
        <f t="shared" ref="B4:B18" si="0">B3-C3-D3</f>
        <v>17</v>
      </c>
      <c r="C4" s="7">
        <v>1</v>
      </c>
      <c r="D4" s="7">
        <v>0</v>
      </c>
      <c r="E4" s="8">
        <f t="shared" ref="E4:E18" si="1">E3*(1-C4/B4)</f>
        <v>0.80672268907563027</v>
      </c>
    </row>
    <row r="5" spans="1:5">
      <c r="A5" s="7">
        <v>9</v>
      </c>
      <c r="B5" s="7">
        <f t="shared" si="0"/>
        <v>16</v>
      </c>
      <c r="C5" s="7">
        <v>0</v>
      </c>
      <c r="D5" s="7">
        <v>1</v>
      </c>
      <c r="E5" s="8">
        <f t="shared" si="1"/>
        <v>0.80672268907563027</v>
      </c>
    </row>
    <row r="6" spans="1:5">
      <c r="A6" s="7">
        <v>10</v>
      </c>
      <c r="B6" s="7">
        <f t="shared" si="0"/>
        <v>15</v>
      </c>
      <c r="C6" s="7">
        <v>1</v>
      </c>
      <c r="D6" s="7">
        <v>1</v>
      </c>
      <c r="E6" s="8">
        <f t="shared" si="1"/>
        <v>0.75294117647058822</v>
      </c>
    </row>
    <row r="7" spans="1:5">
      <c r="A7" s="7">
        <v>11</v>
      </c>
      <c r="B7" s="7">
        <f t="shared" si="0"/>
        <v>13</v>
      </c>
      <c r="C7" s="7">
        <v>0</v>
      </c>
      <c r="D7" s="7">
        <v>1</v>
      </c>
      <c r="E7" s="8">
        <f t="shared" si="1"/>
        <v>0.75294117647058822</v>
      </c>
    </row>
    <row r="8" spans="1:5">
      <c r="A8" s="7">
        <v>13</v>
      </c>
      <c r="B8" s="7">
        <f t="shared" si="0"/>
        <v>12</v>
      </c>
      <c r="C8" s="7">
        <v>1</v>
      </c>
      <c r="D8" s="7">
        <v>0</v>
      </c>
      <c r="E8" s="8">
        <f t="shared" si="1"/>
        <v>0.69019607843137254</v>
      </c>
    </row>
    <row r="9" spans="1:5">
      <c r="A9" s="7">
        <v>16</v>
      </c>
      <c r="B9" s="7">
        <f t="shared" si="0"/>
        <v>11</v>
      </c>
      <c r="C9" s="7">
        <v>1</v>
      </c>
      <c r="D9" s="7">
        <v>0</v>
      </c>
      <c r="E9" s="8">
        <f t="shared" si="1"/>
        <v>0.62745098039215685</v>
      </c>
    </row>
    <row r="10" spans="1:5">
      <c r="A10" s="7">
        <v>17</v>
      </c>
      <c r="B10" s="7">
        <f t="shared" si="0"/>
        <v>10</v>
      </c>
      <c r="C10" s="7">
        <v>0</v>
      </c>
      <c r="D10" s="7">
        <v>1</v>
      </c>
      <c r="E10" s="8">
        <f t="shared" si="1"/>
        <v>0.62745098039215685</v>
      </c>
    </row>
    <row r="11" spans="1:5">
      <c r="A11" s="7">
        <v>19</v>
      </c>
      <c r="B11" s="7">
        <f t="shared" si="0"/>
        <v>9</v>
      </c>
      <c r="C11" s="7">
        <v>0</v>
      </c>
      <c r="D11" s="7">
        <v>1</v>
      </c>
      <c r="E11" s="8">
        <f t="shared" si="1"/>
        <v>0.62745098039215685</v>
      </c>
    </row>
    <row r="12" spans="1:5">
      <c r="A12" s="7">
        <v>20</v>
      </c>
      <c r="B12" s="7">
        <f t="shared" si="0"/>
        <v>8</v>
      </c>
      <c r="C12" s="7">
        <v>0</v>
      </c>
      <c r="D12" s="7">
        <v>1</v>
      </c>
      <c r="E12" s="8">
        <f t="shared" si="1"/>
        <v>0.62745098039215685</v>
      </c>
    </row>
    <row r="13" spans="1:5">
      <c r="A13" s="7">
        <v>22</v>
      </c>
      <c r="B13" s="7">
        <f t="shared" si="0"/>
        <v>7</v>
      </c>
      <c r="C13" s="7">
        <v>1</v>
      </c>
      <c r="D13" s="7">
        <v>0</v>
      </c>
      <c r="E13" s="8">
        <f t="shared" si="1"/>
        <v>0.53781512605042026</v>
      </c>
    </row>
    <row r="14" spans="1:5">
      <c r="A14" s="7">
        <v>23</v>
      </c>
      <c r="B14" s="7">
        <f t="shared" si="0"/>
        <v>6</v>
      </c>
      <c r="C14" s="7">
        <v>1</v>
      </c>
      <c r="D14" s="7">
        <v>0</v>
      </c>
      <c r="E14" s="8">
        <f t="shared" si="1"/>
        <v>0.44817927170868355</v>
      </c>
    </row>
    <row r="15" spans="1:5">
      <c r="A15" s="7">
        <v>25</v>
      </c>
      <c r="B15" s="7">
        <f t="shared" si="0"/>
        <v>5</v>
      </c>
      <c r="C15" s="7">
        <v>0</v>
      </c>
      <c r="D15" s="7">
        <v>1</v>
      </c>
      <c r="E15" s="8">
        <f t="shared" si="1"/>
        <v>0.44817927170868355</v>
      </c>
    </row>
    <row r="16" spans="1:5">
      <c r="A16" s="7">
        <v>32</v>
      </c>
      <c r="B16" s="7">
        <f t="shared" si="0"/>
        <v>4</v>
      </c>
      <c r="C16" s="7">
        <v>0</v>
      </c>
      <c r="D16" s="7">
        <v>2</v>
      </c>
      <c r="E16" s="8">
        <f t="shared" si="1"/>
        <v>0.44817927170868355</v>
      </c>
    </row>
    <row r="17" spans="1:5">
      <c r="A17" s="7">
        <v>34</v>
      </c>
      <c r="B17" s="7">
        <f t="shared" si="0"/>
        <v>2</v>
      </c>
      <c r="C17" s="7">
        <v>0</v>
      </c>
      <c r="D17" s="7">
        <v>1</v>
      </c>
      <c r="E17" s="8">
        <f t="shared" si="1"/>
        <v>0.44817927170868355</v>
      </c>
    </row>
    <row r="18" spans="1:5">
      <c r="A18" s="7">
        <v>35</v>
      </c>
      <c r="B18" s="7">
        <f t="shared" si="0"/>
        <v>1</v>
      </c>
      <c r="C18" s="7">
        <v>0</v>
      </c>
      <c r="D18" s="7">
        <v>1</v>
      </c>
      <c r="E18" s="8">
        <f t="shared" si="1"/>
        <v>0.44817927170868355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E7D8-7526-4283-AAAC-45C6F1C3F762}">
  <dimension ref="A1:E14"/>
  <sheetViews>
    <sheetView zoomScaleNormal="100" workbookViewId="0">
      <selection activeCell="H9" sqref="H9"/>
    </sheetView>
  </sheetViews>
  <sheetFormatPr defaultRowHeight="16.5"/>
  <sheetData>
    <row r="1" spans="1:5" ht="2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spans="1:5">
      <c r="A2" s="9">
        <v>0</v>
      </c>
      <c r="B2" s="9">
        <v>21</v>
      </c>
      <c r="C2" s="9">
        <v>0</v>
      </c>
      <c r="D2" s="9">
        <v>0</v>
      </c>
      <c r="E2" s="10">
        <v>1</v>
      </c>
    </row>
    <row r="3" spans="1:5">
      <c r="A3" s="9">
        <v>1</v>
      </c>
      <c r="B3" s="9">
        <f t="shared" ref="B3:B14" si="0">B2-C2-D2</f>
        <v>21</v>
      </c>
      <c r="C3" s="9">
        <v>2</v>
      </c>
      <c r="D3" s="9">
        <v>0</v>
      </c>
      <c r="E3" s="10">
        <f t="shared" ref="E3:E14" si="1">E2*(1-C3/B3)</f>
        <v>0.90476190476190477</v>
      </c>
    </row>
    <row r="4" spans="1:5">
      <c r="A4" s="9">
        <v>2</v>
      </c>
      <c r="B4" s="9">
        <f t="shared" si="0"/>
        <v>19</v>
      </c>
      <c r="C4" s="9">
        <v>2</v>
      </c>
      <c r="D4" s="9">
        <v>0</v>
      </c>
      <c r="E4" s="10">
        <f t="shared" si="1"/>
        <v>0.80952380952380953</v>
      </c>
    </row>
    <row r="5" spans="1:5">
      <c r="A5" s="7">
        <v>3</v>
      </c>
      <c r="B5" s="9">
        <f t="shared" si="0"/>
        <v>17</v>
      </c>
      <c r="C5" s="9">
        <v>1</v>
      </c>
      <c r="D5" s="9">
        <v>0</v>
      </c>
      <c r="E5" s="10">
        <f t="shared" si="1"/>
        <v>0.76190476190476186</v>
      </c>
    </row>
    <row r="6" spans="1:5">
      <c r="A6" s="7">
        <v>4</v>
      </c>
      <c r="B6" s="9">
        <f t="shared" si="0"/>
        <v>16</v>
      </c>
      <c r="C6" s="9">
        <v>2</v>
      </c>
      <c r="D6" s="9">
        <v>0</v>
      </c>
      <c r="E6" s="10">
        <f t="shared" si="1"/>
        <v>0.66666666666666663</v>
      </c>
    </row>
    <row r="7" spans="1:5">
      <c r="A7" s="7">
        <v>5</v>
      </c>
      <c r="B7" s="9">
        <f t="shared" si="0"/>
        <v>14</v>
      </c>
      <c r="C7" s="9">
        <v>2</v>
      </c>
      <c r="D7" s="9">
        <v>0</v>
      </c>
      <c r="E7" s="10">
        <f t="shared" si="1"/>
        <v>0.5714285714285714</v>
      </c>
    </row>
    <row r="8" spans="1:5">
      <c r="A8" s="7">
        <v>8</v>
      </c>
      <c r="B8" s="9">
        <f t="shared" si="0"/>
        <v>12</v>
      </c>
      <c r="C8" s="9">
        <v>4</v>
      </c>
      <c r="D8" s="9">
        <v>0</v>
      </c>
      <c r="E8" s="10">
        <f t="shared" si="1"/>
        <v>0.38095238095238099</v>
      </c>
    </row>
    <row r="9" spans="1:5">
      <c r="A9" s="7">
        <v>11</v>
      </c>
      <c r="B9" s="9">
        <f t="shared" si="0"/>
        <v>8</v>
      </c>
      <c r="C9" s="9">
        <v>2</v>
      </c>
      <c r="D9" s="9">
        <v>0</v>
      </c>
      <c r="E9" s="10">
        <f t="shared" si="1"/>
        <v>0.28571428571428575</v>
      </c>
    </row>
    <row r="10" spans="1:5">
      <c r="A10" s="7">
        <v>12</v>
      </c>
      <c r="B10" s="9">
        <f t="shared" si="0"/>
        <v>6</v>
      </c>
      <c r="C10" s="9">
        <v>2</v>
      </c>
      <c r="D10" s="9">
        <v>0</v>
      </c>
      <c r="E10" s="10">
        <f t="shared" si="1"/>
        <v>0.19047619047619052</v>
      </c>
    </row>
    <row r="11" spans="1:5">
      <c r="A11" s="7">
        <v>15</v>
      </c>
      <c r="B11" s="9">
        <f t="shared" si="0"/>
        <v>4</v>
      </c>
      <c r="C11" s="9">
        <v>1</v>
      </c>
      <c r="D11" s="9">
        <v>0</v>
      </c>
      <c r="E11" s="10">
        <f t="shared" si="1"/>
        <v>0.1428571428571429</v>
      </c>
    </row>
    <row r="12" spans="1:5">
      <c r="A12" s="7">
        <v>17</v>
      </c>
      <c r="B12" s="9">
        <f t="shared" si="0"/>
        <v>3</v>
      </c>
      <c r="C12" s="9">
        <v>1</v>
      </c>
      <c r="D12" s="9">
        <v>0</v>
      </c>
      <c r="E12" s="10">
        <f t="shared" si="1"/>
        <v>9.5238095238095274E-2</v>
      </c>
    </row>
    <row r="13" spans="1:5">
      <c r="A13" s="7">
        <v>22</v>
      </c>
      <c r="B13" s="9">
        <f t="shared" si="0"/>
        <v>2</v>
      </c>
      <c r="C13" s="9">
        <v>1</v>
      </c>
      <c r="D13" s="9">
        <v>0</v>
      </c>
      <c r="E13" s="10">
        <f t="shared" si="1"/>
        <v>4.7619047619047637E-2</v>
      </c>
    </row>
    <row r="14" spans="1:5">
      <c r="A14" s="7">
        <v>23</v>
      </c>
      <c r="B14" s="9">
        <f t="shared" si="0"/>
        <v>1</v>
      </c>
      <c r="C14" s="9">
        <v>1</v>
      </c>
      <c r="D14" s="9">
        <v>0</v>
      </c>
      <c r="E14" s="10">
        <f t="shared" si="1"/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96C-11AF-4A60-87EF-FBBBD9FCAFC5}">
  <dimension ref="A1:J26"/>
  <sheetViews>
    <sheetView zoomScaleNormal="100" workbookViewId="0">
      <selection activeCell="M15" sqref="M15"/>
    </sheetView>
  </sheetViews>
  <sheetFormatPr defaultRowHeight="16.5"/>
  <sheetData>
    <row r="1" spans="1:10" ht="2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4"/>
    </row>
    <row r="2" spans="1:10">
      <c r="A2" s="9">
        <v>0</v>
      </c>
      <c r="B2" s="9">
        <v>42</v>
      </c>
      <c r="C2" s="9">
        <v>0</v>
      </c>
      <c r="D2" s="9">
        <v>0</v>
      </c>
      <c r="E2" s="11">
        <v>1</v>
      </c>
      <c r="F2" s="4"/>
    </row>
    <row r="3" spans="1:10">
      <c r="A3" s="9">
        <v>1</v>
      </c>
      <c r="B3" s="9">
        <f t="shared" ref="B3:B26" si="0">B2-C2-D2</f>
        <v>42</v>
      </c>
      <c r="C3" s="9">
        <v>2</v>
      </c>
      <c r="D3" s="9">
        <v>0</v>
      </c>
      <c r="E3" s="11">
        <f t="shared" ref="E3:E26" si="1">E2*(1-C3/B3)</f>
        <v>0.95238095238095233</v>
      </c>
      <c r="F3" s="4"/>
      <c r="G3" s="15"/>
      <c r="H3" s="15"/>
      <c r="I3" s="15"/>
      <c r="J3" s="15"/>
    </row>
    <row r="4" spans="1:10">
      <c r="A4" s="9">
        <v>2</v>
      </c>
      <c r="B4" s="9">
        <f t="shared" si="0"/>
        <v>40</v>
      </c>
      <c r="C4" s="9">
        <v>2</v>
      </c>
      <c r="D4" s="9">
        <v>0</v>
      </c>
      <c r="E4" s="11">
        <f t="shared" si="1"/>
        <v>0.90476190476190466</v>
      </c>
      <c r="F4" s="12"/>
      <c r="G4" s="12"/>
      <c r="H4" s="12"/>
      <c r="I4" s="12"/>
      <c r="J4" s="12"/>
    </row>
    <row r="5" spans="1:10">
      <c r="A5" s="6">
        <v>3</v>
      </c>
      <c r="B5" s="16">
        <f t="shared" si="0"/>
        <v>38</v>
      </c>
      <c r="C5" s="16">
        <v>1</v>
      </c>
      <c r="D5" s="16">
        <v>0</v>
      </c>
      <c r="E5" s="17">
        <f t="shared" si="1"/>
        <v>0.88095238095238093</v>
      </c>
      <c r="F5" s="13"/>
      <c r="G5" s="13"/>
      <c r="H5" s="13"/>
      <c r="I5" s="14"/>
      <c r="J5" s="14"/>
    </row>
    <row r="6" spans="1:10">
      <c r="A6" s="7">
        <v>4</v>
      </c>
      <c r="B6" s="9">
        <f t="shared" si="0"/>
        <v>37</v>
      </c>
      <c r="C6" s="9">
        <v>2</v>
      </c>
      <c r="D6" s="9">
        <v>0</v>
      </c>
      <c r="E6" s="11">
        <f t="shared" si="1"/>
        <v>0.83333333333333326</v>
      </c>
      <c r="F6" s="4"/>
    </row>
    <row r="7" spans="1:10">
      <c r="A7" s="7">
        <v>5</v>
      </c>
      <c r="B7" s="9">
        <f t="shared" si="0"/>
        <v>35</v>
      </c>
      <c r="C7" s="9">
        <v>2</v>
      </c>
      <c r="D7" s="9">
        <v>0</v>
      </c>
      <c r="E7" s="11">
        <f t="shared" si="1"/>
        <v>0.78571428571428559</v>
      </c>
      <c r="F7" s="4"/>
    </row>
    <row r="8" spans="1:10">
      <c r="A8" s="7">
        <v>6</v>
      </c>
      <c r="B8" s="9">
        <f t="shared" si="0"/>
        <v>33</v>
      </c>
      <c r="C8" s="9">
        <v>3</v>
      </c>
      <c r="D8" s="9">
        <v>1</v>
      </c>
      <c r="E8" s="11">
        <f t="shared" si="1"/>
        <v>0.71428571428571419</v>
      </c>
      <c r="F8" s="4"/>
    </row>
    <row r="9" spans="1:10">
      <c r="A9" s="7">
        <v>7</v>
      </c>
      <c r="B9" s="9">
        <f t="shared" si="0"/>
        <v>29</v>
      </c>
      <c r="C9" s="9">
        <v>1</v>
      </c>
      <c r="D9" s="9">
        <v>0</v>
      </c>
      <c r="E9" s="11">
        <f t="shared" si="1"/>
        <v>0.68965517241379304</v>
      </c>
      <c r="F9" s="4"/>
    </row>
    <row r="10" spans="1:10">
      <c r="A10" s="7">
        <v>8</v>
      </c>
      <c r="B10" s="9">
        <f t="shared" si="0"/>
        <v>28</v>
      </c>
      <c r="C10" s="9">
        <v>4</v>
      </c>
      <c r="D10" s="9">
        <v>0</v>
      </c>
      <c r="E10" s="11">
        <f t="shared" si="1"/>
        <v>0.59113300492610832</v>
      </c>
      <c r="F10" s="4"/>
    </row>
    <row r="11" spans="1:10">
      <c r="A11" s="7">
        <v>9</v>
      </c>
      <c r="B11" s="9">
        <f t="shared" si="0"/>
        <v>24</v>
      </c>
      <c r="C11" s="9">
        <v>0</v>
      </c>
      <c r="D11" s="9">
        <v>1</v>
      </c>
      <c r="E11" s="11">
        <f t="shared" si="1"/>
        <v>0.59113300492610832</v>
      </c>
      <c r="F11" s="4"/>
    </row>
    <row r="12" spans="1:10">
      <c r="A12" s="7">
        <v>10</v>
      </c>
      <c r="B12" s="9">
        <f t="shared" si="0"/>
        <v>23</v>
      </c>
      <c r="C12" s="9">
        <v>1</v>
      </c>
      <c r="D12" s="9">
        <v>1</v>
      </c>
      <c r="E12" s="11">
        <f t="shared" si="1"/>
        <v>0.56543156992932098</v>
      </c>
      <c r="F12" s="4"/>
    </row>
    <row r="13" spans="1:10">
      <c r="A13" s="7">
        <v>11</v>
      </c>
      <c r="B13" s="9">
        <f t="shared" si="0"/>
        <v>21</v>
      </c>
      <c r="C13" s="9">
        <v>2</v>
      </c>
      <c r="D13" s="9">
        <v>1</v>
      </c>
      <c r="E13" s="11">
        <f t="shared" si="1"/>
        <v>0.51158094422176659</v>
      </c>
      <c r="F13" s="4"/>
    </row>
    <row r="14" spans="1:10">
      <c r="A14" s="7">
        <v>12</v>
      </c>
      <c r="B14" s="9">
        <f t="shared" si="0"/>
        <v>18</v>
      </c>
      <c r="C14" s="9">
        <v>2</v>
      </c>
      <c r="D14" s="9">
        <v>0</v>
      </c>
      <c r="E14" s="11">
        <f t="shared" si="1"/>
        <v>0.45473861708601471</v>
      </c>
      <c r="F14" s="4"/>
    </row>
    <row r="15" spans="1:10">
      <c r="A15" s="7">
        <v>13</v>
      </c>
      <c r="B15" s="9">
        <f t="shared" si="0"/>
        <v>16</v>
      </c>
      <c r="C15" s="9">
        <v>1</v>
      </c>
      <c r="D15" s="9">
        <v>0</v>
      </c>
      <c r="E15" s="11">
        <f t="shared" si="1"/>
        <v>0.42631745351813877</v>
      </c>
      <c r="F15" s="4"/>
    </row>
    <row r="16" spans="1:10">
      <c r="A16" s="7">
        <v>15</v>
      </c>
      <c r="B16" s="9">
        <f t="shared" si="0"/>
        <v>15</v>
      </c>
      <c r="C16" s="9">
        <v>1</v>
      </c>
      <c r="D16" s="9">
        <v>0</v>
      </c>
      <c r="E16" s="11">
        <f t="shared" si="1"/>
        <v>0.39789628995026288</v>
      </c>
      <c r="F16" s="4"/>
    </row>
    <row r="17" spans="1:6">
      <c r="A17" s="7">
        <v>16</v>
      </c>
      <c r="B17" s="9">
        <f t="shared" si="0"/>
        <v>14</v>
      </c>
      <c r="C17" s="9">
        <v>1</v>
      </c>
      <c r="D17" s="9">
        <v>0</v>
      </c>
      <c r="E17" s="11">
        <f t="shared" si="1"/>
        <v>0.369475126382387</v>
      </c>
      <c r="F17" s="4"/>
    </row>
    <row r="18" spans="1:6">
      <c r="A18" s="7">
        <v>17</v>
      </c>
      <c r="B18" s="9">
        <f t="shared" si="0"/>
        <v>13</v>
      </c>
      <c r="C18" s="9">
        <v>1</v>
      </c>
      <c r="D18" s="9">
        <v>1</v>
      </c>
      <c r="E18" s="11">
        <f t="shared" si="1"/>
        <v>0.34105396281451111</v>
      </c>
      <c r="F18" s="4"/>
    </row>
    <row r="19" spans="1:6">
      <c r="A19" s="7">
        <v>19</v>
      </c>
      <c r="B19" s="9">
        <f t="shared" si="0"/>
        <v>11</v>
      </c>
      <c r="C19" s="9">
        <v>0</v>
      </c>
      <c r="D19" s="9">
        <v>1</v>
      </c>
      <c r="E19" s="11">
        <f t="shared" si="1"/>
        <v>0.34105396281451111</v>
      </c>
      <c r="F19" s="4"/>
    </row>
    <row r="20" spans="1:6">
      <c r="A20" s="7">
        <v>20</v>
      </c>
      <c r="B20" s="9">
        <f t="shared" si="0"/>
        <v>10</v>
      </c>
      <c r="C20" s="9">
        <v>0</v>
      </c>
      <c r="D20" s="9">
        <v>1</v>
      </c>
      <c r="E20" s="11">
        <f t="shared" si="1"/>
        <v>0.34105396281451111</v>
      </c>
      <c r="F20" s="4"/>
    </row>
    <row r="21" spans="1:6">
      <c r="A21" s="7">
        <v>22</v>
      </c>
      <c r="B21" s="9">
        <f t="shared" si="0"/>
        <v>9</v>
      </c>
      <c r="C21" s="9">
        <v>2</v>
      </c>
      <c r="D21" s="9">
        <v>0</v>
      </c>
      <c r="E21" s="11">
        <f t="shared" si="1"/>
        <v>0.26526419330017531</v>
      </c>
      <c r="F21" s="4"/>
    </row>
    <row r="22" spans="1:6">
      <c r="A22" s="7">
        <v>23</v>
      </c>
      <c r="B22" s="9">
        <f t="shared" si="0"/>
        <v>7</v>
      </c>
      <c r="C22" s="9">
        <v>2</v>
      </c>
      <c r="D22" s="9">
        <v>0</v>
      </c>
      <c r="E22" s="11">
        <f t="shared" si="1"/>
        <v>0.18947442378583951</v>
      </c>
      <c r="F22" s="4"/>
    </row>
    <row r="23" spans="1:6">
      <c r="A23" s="7">
        <v>25</v>
      </c>
      <c r="B23" s="9">
        <f t="shared" si="0"/>
        <v>5</v>
      </c>
      <c r="C23" s="9">
        <v>0</v>
      </c>
      <c r="D23" s="9">
        <v>1</v>
      </c>
      <c r="E23" s="11">
        <f t="shared" si="1"/>
        <v>0.18947442378583951</v>
      </c>
      <c r="F23" s="4"/>
    </row>
    <row r="24" spans="1:6">
      <c r="A24" s="7">
        <v>32</v>
      </c>
      <c r="B24" s="9">
        <f t="shared" si="0"/>
        <v>4</v>
      </c>
      <c r="C24" s="9">
        <v>0</v>
      </c>
      <c r="D24" s="9">
        <v>2</v>
      </c>
      <c r="E24" s="11">
        <f t="shared" si="1"/>
        <v>0.18947442378583951</v>
      </c>
      <c r="F24" s="4"/>
    </row>
    <row r="25" spans="1:6">
      <c r="A25" s="7">
        <v>34</v>
      </c>
      <c r="B25" s="9">
        <f t="shared" si="0"/>
        <v>2</v>
      </c>
      <c r="C25" s="9">
        <v>0</v>
      </c>
      <c r="D25" s="9">
        <v>1</v>
      </c>
      <c r="E25" s="11">
        <f t="shared" si="1"/>
        <v>0.18947442378583951</v>
      </c>
      <c r="F25" s="4"/>
    </row>
    <row r="26" spans="1:6">
      <c r="A26" s="7">
        <v>35</v>
      </c>
      <c r="B26" s="9">
        <f t="shared" si="0"/>
        <v>1</v>
      </c>
      <c r="C26" s="9">
        <v>0</v>
      </c>
      <c r="D26" s="9">
        <v>1</v>
      </c>
      <c r="E26" s="11">
        <f t="shared" si="1"/>
        <v>0.18947442378583951</v>
      </c>
      <c r="F26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treatment</vt:lpstr>
      <vt:lpstr>placebo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Xu</dc:creator>
  <cp:lastModifiedBy>Jiayi Xu</cp:lastModifiedBy>
  <dcterms:created xsi:type="dcterms:W3CDTF">2024-03-20T06:15:50Z</dcterms:created>
  <dcterms:modified xsi:type="dcterms:W3CDTF">2024-08-31T06:30:58Z</dcterms:modified>
</cp:coreProperties>
</file>